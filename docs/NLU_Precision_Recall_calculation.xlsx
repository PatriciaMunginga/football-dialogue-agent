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a-my.sharepoint.com/personal/3033388m_student_gla_ac_uk/Documents/University of Glasgow/CONVERSATIONAL_INTERFACES_COMPSCI5094/Assessment/docs/"/>
    </mc:Choice>
  </mc:AlternateContent>
  <xr:revisionPtr revIDLastSave="299" documentId="8_{1FCFFB78-A524-4A45-969A-3333B7853BCE}" xr6:coauthVersionLast="47" xr6:coauthVersionMax="47" xr10:uidLastSave="{12885ACC-90E0-4530-BDDF-F8EB763FBDA9}"/>
  <bookViews>
    <workbookView xWindow="11424" yWindow="0" windowWidth="11712" windowHeight="13056" firstSheet="11" activeTab="12" xr2:uid="{B039B5A9-35C3-451D-A54B-34360B1EAB5D}"/>
  </bookViews>
  <sheets>
    <sheet name="Test Dialogue 1" sheetId="1" r:id="rId1"/>
    <sheet name="Test Dialogue 2" sheetId="3" r:id="rId2"/>
    <sheet name="Test Dialogue 3" sheetId="4" r:id="rId3"/>
    <sheet name="Test Dialogue 4" sheetId="5" r:id="rId4"/>
    <sheet name="Test Dialogue 5 " sheetId="6" r:id="rId5"/>
    <sheet name="Test Dialogue 6" sheetId="7" r:id="rId6"/>
    <sheet name="Test Dialogue 7" sheetId="8" r:id="rId7"/>
    <sheet name="Test Dialogue 8" sheetId="9" r:id="rId8"/>
    <sheet name="Test Dialogue 9" sheetId="10" r:id="rId9"/>
    <sheet name="Test Dialogue 10" sheetId="11" r:id="rId10"/>
    <sheet name="Test Dialogue 11" sheetId="12" r:id="rId11"/>
    <sheet name="Test Dialogue 12" sheetId="13" r:id="rId12"/>
    <sheet name="Test Dialogue 13" sheetId="14" r:id="rId13"/>
    <sheet name="Total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5" i="4"/>
  <c r="B9" i="4"/>
  <c r="B11" i="4"/>
  <c r="D12" i="4"/>
  <c r="D10" i="4"/>
  <c r="B6" i="4"/>
  <c r="C2" i="4"/>
  <c r="B2" i="4"/>
  <c r="C12" i="1"/>
  <c r="C11" i="1"/>
  <c r="C10" i="1"/>
  <c r="C9" i="1"/>
  <c r="C8" i="1"/>
  <c r="C6" i="1"/>
  <c r="C4" i="1"/>
  <c r="C5" i="1"/>
  <c r="B7" i="1"/>
  <c r="C7" i="1"/>
  <c r="B5" i="1"/>
  <c r="C2" i="1"/>
  <c r="B2" i="1"/>
</calcChain>
</file>

<file path=xl/sharedStrings.xml><?xml version="1.0" encoding="utf-8"?>
<sst xmlns="http://schemas.openxmlformats.org/spreadsheetml/2006/main" count="232" uniqueCount="21">
  <si>
    <t>TP</t>
  </si>
  <si>
    <t>TN</t>
  </si>
  <si>
    <t>FP</t>
  </si>
  <si>
    <t>FN</t>
  </si>
  <si>
    <t>GetInfo</t>
  </si>
  <si>
    <t>lastOpponent</t>
  </si>
  <si>
    <t>lastScore</t>
  </si>
  <si>
    <t>leaguePosition</t>
  </si>
  <si>
    <t>manager</t>
  </si>
  <si>
    <t>nextGameDate</t>
  </si>
  <si>
    <t>nextOpponent</t>
  </si>
  <si>
    <t>numGamesPlayed</t>
  </si>
  <si>
    <t>playingNow</t>
  </si>
  <si>
    <t>winLossRecord</t>
  </si>
  <si>
    <t>Column1</t>
  </si>
  <si>
    <t>Intent/Slot</t>
  </si>
  <si>
    <t>Sum</t>
  </si>
  <si>
    <t>Average</t>
  </si>
  <si>
    <t>Running Total</t>
  </si>
  <si>
    <t>Count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</si>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</sst>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68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9D284C-FBB8-4F39-AE1B-B22E0253FC76}" name="Table1" displayName="Table1" ref="A1:E12" totalsRowShown="0" headerRowDxfId="67">
  <autoFilter ref="A1:E12" xr:uid="{669D284C-FBB8-4F39-AE1B-B22E0253FC76}"/>
  <tableColumns count="5">
    <tableColumn id="1" xr3:uid="{BDE36170-96C0-46CD-992E-F201BCB28140}" name="Intent/Slot" dataDxfId="66"/>
    <tableColumn id="2" xr3:uid="{B69F49D0-AD4E-4399-B3D8-D95B5D55A2A7}" name="TP" dataDxfId="65">
      <calculatedColumnFormula>4</calculatedColumnFormula>
    </tableColumn>
    <tableColumn id="3" xr3:uid="{C6FBC0F5-B7A2-4955-AE3F-CF4BB58FCFCD}" name="TN" dataDxfId="64">
      <calculatedColumnFormula>1</calculatedColumnFormula>
    </tableColumn>
    <tableColumn id="4" xr3:uid="{CEFCB4C1-98E3-40CB-8BF4-CBE078AF823B}" name="FP"/>
    <tableColumn id="5" xr3:uid="{B89454DC-4EDF-4E4C-861C-96448BC87B7B}" name="FN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FD418B-AF20-490A-A0A7-B4DB99512FB0}" name="Table13" displayName="Table13" ref="A1:E11" totalsRowShown="0" headerRowDxfId="63">
  <autoFilter ref="A1:E11" xr:uid="{83FD418B-AF20-490A-A0A7-B4DB99512FB0}"/>
  <tableColumns count="5">
    <tableColumn id="1" xr3:uid="{ECA31950-D1D1-4D41-91F2-1AD576AC62EE}" name="Intent/Slot" dataDxfId="62"/>
    <tableColumn id="2" xr3:uid="{386B8D1F-AC3B-4855-9631-684B4D0D4DCB}" name="TP" dataDxfId="61"/>
    <tableColumn id="3" xr3:uid="{611D238F-016E-49B3-A8CD-22B81217A4A8}" name="TN" dataDxfId="60"/>
    <tableColumn id="4" xr3:uid="{AE9D010E-EF64-438C-9BFF-C33826CA9EFC}" name="FP"/>
    <tableColumn id="5" xr3:uid="{F347EF72-2B70-409A-8723-06A89F86F7A3}" name="FN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780DAC-76DE-48DB-A2BF-7B09CCD0C42B}" name="Table134" displayName="Table134" ref="A1:E12" totalsRowShown="0" headerRowDxfId="59">
  <autoFilter ref="A1:E12" xr:uid="{1A780DAC-76DE-48DB-A2BF-7B09CCD0C42B}"/>
  <tableColumns count="5">
    <tableColumn id="1" xr3:uid="{02E76032-E07A-453A-A573-27656729A2B0}" name="Intent/Slot" dataDxfId="58"/>
    <tableColumn id="2" xr3:uid="{1B4108A8-BC6F-471C-B284-A861B8978B6B}" name="TP" dataDxfId="57">
      <calculatedColumnFormula>5</calculatedColumnFormula>
    </tableColumn>
    <tableColumn id="3" xr3:uid="{BD3DE700-BA8D-4BCA-88C7-C69404C57958}" name="TN" dataDxfId="56">
      <calculatedColumnFormula>1</calculatedColumnFormula>
    </tableColumn>
    <tableColumn id="4" xr3:uid="{271A623C-DE92-4320-BFFD-CE5673173D22}" name="FP" dataDxfId="55">
      <calculatedColumnFormula>1</calculatedColumnFormula>
    </tableColumn>
    <tableColumn id="5" xr3:uid="{46E6B1D2-2C9A-43C6-A690-CE24637FA0E8}" name="FN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CA77C2-1A18-44F5-9A63-11BAE6E9AB8C}" name="Table1345" displayName="Table1345" ref="A1:E12" totalsRowShown="0" headerRowDxfId="54">
  <autoFilter ref="A1:E12" xr:uid="{24CA77C2-1A18-44F5-9A63-11BAE6E9AB8C}"/>
  <tableColumns count="5">
    <tableColumn id="1" xr3:uid="{111CD0FF-1BEA-4782-8AA4-3A9EE920C80C}" name="Intent/Slot" dataDxfId="53"/>
    <tableColumn id="2" xr3:uid="{CF89C75A-814A-4D85-88AD-4CF042F35CA4}" name="TP" dataDxfId="52"/>
    <tableColumn id="3" xr3:uid="{0174D8C8-EA67-465B-87BF-75782904E2D5}" name="TN" dataDxfId="51"/>
    <tableColumn id="4" xr3:uid="{3F26438D-75E6-4494-8578-A761C89B9850}" name="FP" dataDxfId="50"/>
    <tableColumn id="5" xr3:uid="{624656AC-1A14-4254-A32A-B5460A8C77F0}" name="FN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387F1F-D0F0-4368-8243-0BC7D4CCA2E4}" name="Table13456" displayName="Table13456" ref="A1:E12" totalsRowShown="0" headerRowDxfId="49">
  <autoFilter ref="A1:E12" xr:uid="{AA387F1F-D0F0-4368-8243-0BC7D4CCA2E4}"/>
  <tableColumns count="5">
    <tableColumn id="1" xr3:uid="{0DA3798E-AFA7-449F-8810-E2947ABF4851}" name="Intent/Slot" dataDxfId="48"/>
    <tableColumn id="2" xr3:uid="{9E9329B6-98F9-45D5-8896-41ACFE5F6FFE}" name="TP" dataDxfId="47"/>
    <tableColumn id="3" xr3:uid="{56260E40-4881-4187-87D0-6C163D5F5DF9}" name="TN" dataDxfId="46"/>
    <tableColumn id="4" xr3:uid="{032941D8-C2FE-4472-B694-DAA3743AE1E5}" name="FP" dataDxfId="45"/>
    <tableColumn id="5" xr3:uid="{F6B3E275-94DB-4366-A06E-C8666D6A2673}" name="FN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AE06F5A-918E-4C1B-8557-8DE5091085F1}" name="Table134567" displayName="Table134567" ref="A1:E12" totalsRowShown="0" headerRowDxfId="44">
  <autoFilter ref="A1:E12" xr:uid="{3AE06F5A-918E-4C1B-8557-8DE5091085F1}"/>
  <tableColumns count="5">
    <tableColumn id="1" xr3:uid="{0101EDE3-A267-4776-AB3C-7E74E6C468FC}" name="Intent/Slot" dataDxfId="43"/>
    <tableColumn id="2" xr3:uid="{3682E3F7-25D5-4248-870C-01DB74A99C35}" name="TP" dataDxfId="42"/>
    <tableColumn id="3" xr3:uid="{AB601922-DA7F-4740-A8D1-8DD750B5DFBF}" name="TN" dataDxfId="41"/>
    <tableColumn id="4" xr3:uid="{16D79E4A-5E75-453D-9590-0B9702C9C35E}" name="FP" dataDxfId="40"/>
    <tableColumn id="5" xr3:uid="{F59E47FF-4638-44B0-8638-F974D277253C}" name="FN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09640F7-FF4C-4EE0-864F-0895E84BDFBA}" name="Table1345678" displayName="Table1345678" ref="A1:E12" totalsRowShown="0" headerRowDxfId="39">
  <autoFilter ref="A1:E12" xr:uid="{A09640F7-FF4C-4EE0-864F-0895E84BDFBA}"/>
  <tableColumns count="5">
    <tableColumn id="1" xr3:uid="{0FDE242A-14CC-4FF8-9C81-34F20D18DBE6}" name="Intent/Slot" dataDxfId="38"/>
    <tableColumn id="2" xr3:uid="{429BCC26-70F0-4DC9-AACE-B8E8C8485379}" name="TP" dataDxfId="37"/>
    <tableColumn id="3" xr3:uid="{CCD1998A-D15B-41C8-849C-DE0CF7F952E6}" name="TN" dataDxfId="36"/>
    <tableColumn id="4" xr3:uid="{D06F5F78-03D4-469E-A8BA-5168A77CB47F}" name="FP" dataDxfId="35"/>
    <tableColumn id="5" xr3:uid="{C464A029-EA0D-4A67-AD2A-29E9908B3014}" name="FN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1D69FEF-072A-41B3-9257-8051A1D2E9F7}" name="Table1345679" displayName="Table1345679" ref="A1:E12" totalsRowShown="0" headerRowDxfId="34">
  <autoFilter ref="A1:E12" xr:uid="{E1D69FEF-072A-41B3-9257-8051A1D2E9F7}"/>
  <tableColumns count="5">
    <tableColumn id="1" xr3:uid="{76EDFE91-7E6E-4D70-8D53-22D92D34C5AB}" name="Intent/Slot" dataDxfId="33"/>
    <tableColumn id="2" xr3:uid="{83822FF7-F517-4308-90CE-4EB491E18159}" name="TP" dataDxfId="32"/>
    <tableColumn id="3" xr3:uid="{2F57E077-EE7C-44FD-93D7-B960BDDD7059}" name="TN" dataDxfId="31"/>
    <tableColumn id="4" xr3:uid="{659A9106-3D16-48C0-B906-D94ABDDAC04F}" name="FP" dataDxfId="30"/>
    <tableColumn id="5" xr3:uid="{5E20D821-A7BB-4942-B5F3-A57F7FE5F504}" name="FN"/>
  </tableColumns>
  <tableStyleInfo name="TableStyleMedium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02EE311-5342-4E40-801C-FDF72BBDCA6C}" name="Table13456710" displayName="Table13456710" ref="A1:E12" totalsRowShown="0" headerRowDxfId="29">
  <autoFilter ref="A1:E12" xr:uid="{D02EE311-5342-4E40-801C-FDF72BBDCA6C}"/>
  <tableColumns count="5">
    <tableColumn id="1" xr3:uid="{33D9B8CF-869A-4591-8B31-4E709057B3D5}" name="Intent/Slot" dataDxfId="28"/>
    <tableColumn id="2" xr3:uid="{03ED7FC8-F1A5-4ED1-817A-86B9995DF6D2}" name="TP" dataDxfId="27"/>
    <tableColumn id="3" xr3:uid="{E5B208A3-B5ED-4565-845A-2D8EE07182F6}" name="TN" dataDxfId="26"/>
    <tableColumn id="4" xr3:uid="{49DD00D9-323C-4A49-91B5-A22A7CF69611}" name="FP" dataDxfId="25"/>
    <tableColumn id="5" xr3:uid="{18F60EFF-5C29-4733-9F61-AE91FFA78E18}" name="FN"/>
  </tableColumns>
  <tableStyleInfo name="TableStyleMedium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B35C353-166A-4202-8B51-60238863F659}" name="Table13456711" displayName="Table13456711" ref="A1:E12" totalsRowShown="0" headerRowDxfId="24">
  <autoFilter ref="A1:E12" xr:uid="{CB35C353-166A-4202-8B51-60238863F659}"/>
  <tableColumns count="5">
    <tableColumn id="1" xr3:uid="{9479C39A-9D6B-4079-87A8-5049C1200BF7}" name="Intent/Slot" dataDxfId="23"/>
    <tableColumn id="2" xr3:uid="{5F9AACE8-C003-41B4-9274-0B49D905AECC}" name="TP" dataDxfId="22"/>
    <tableColumn id="3" xr3:uid="{AD01F0F8-886B-4AEA-8DD2-C9830816BB22}" name="TN" dataDxfId="21"/>
    <tableColumn id="4" xr3:uid="{A63634D9-DB8E-44AE-8802-537F8A525737}" name="FP" dataDxfId="20"/>
    <tableColumn id="5" xr3:uid="{0CF9F970-F257-455F-BEC0-08CD7C67BA9A}" name="FN"/>
  </tableColumns>
  <tableStyleInfo name="TableStyleMedium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66DE4FA-647F-4875-B130-A9A682F74CE3}" name="Table13456712" displayName="Table13456712" ref="A1:E12" totalsRowShown="0" headerRowDxfId="19">
  <autoFilter ref="A1:E12" xr:uid="{066DE4FA-647F-4875-B130-A9A682F74CE3}"/>
  <tableColumns count="5">
    <tableColumn id="1" xr3:uid="{6E2974F8-C483-4BEE-AB15-D8FB37BA92FB}" name="Intent/Slot" dataDxfId="18"/>
    <tableColumn id="2" xr3:uid="{D2849A64-0BAB-4124-B7FC-FE73C76A1223}" name="TP" dataDxfId="17"/>
    <tableColumn id="3" xr3:uid="{963EE265-E92B-4C7D-ADD5-408BE7D41F7B}" name="TN" dataDxfId="16"/>
    <tableColumn id="4" xr3:uid="{B0ABE73E-1DDD-4582-B4E7-25568BBE1752}" name="FP" dataDxfId="15"/>
    <tableColumn id="5" xr3:uid="{F02FC278-1729-40EF-BB06-6B84532E558A}" name="FN"/>
  </tableColumns>
  <tableStyleInfo name="TableStyleMedium1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3CF0E83-FA05-4D2A-8747-D8D1370A5825}" name="Table13456713" displayName="Table13456713" ref="A1:E12" totalsRowShown="0" headerRowDxfId="14">
  <autoFilter ref="A1:E12" xr:uid="{B3CF0E83-FA05-4D2A-8747-D8D1370A5825}"/>
  <tableColumns count="5">
    <tableColumn id="1" xr3:uid="{E89D8F12-AFFD-49A3-BE71-E2CE6CF471C1}" name="Intent/Slot" dataDxfId="13"/>
    <tableColumn id="2" xr3:uid="{3BEECA7F-7E6E-4C17-8A04-6604D5EE8368}" name="TP" dataDxfId="12"/>
    <tableColumn id="3" xr3:uid="{AE80581D-AEBD-4CB1-B3C6-FC27172AE09D}" name="TN" dataDxfId="11"/>
    <tableColumn id="4" xr3:uid="{C9EA3B01-8C43-4D62-AC99-EBE6CD12156D}" name="FP" dataDxfId="10"/>
    <tableColumn id="5" xr3:uid="{F8F7D539-4E31-4FD2-AC82-36C4D3AFE5A3}" name="FN"/>
  </tableColumns>
  <tableStyleInfo name="TableStyleMedium1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5025942-D086-4FF9-AF99-E8AC00D6DEF3}" name="Table13456714" displayName="Table13456714" ref="A1:E12" totalsRowShown="0" headerRowDxfId="9">
  <autoFilter ref="A1:E12" xr:uid="{95025942-D086-4FF9-AF99-E8AC00D6DEF3}"/>
  <tableColumns count="5">
    <tableColumn id="1" xr3:uid="{BCDC0F52-9C21-4400-88B0-D5A01A9B2A3B}" name="Intent/Slot" dataDxfId="8"/>
    <tableColumn id="2" xr3:uid="{0510F934-88B6-4880-BDB8-89B366EA1D46}" name="TP" dataDxfId="7"/>
    <tableColumn id="3" xr3:uid="{9BF728D3-9AC8-4B0F-82D0-4BEF2DB4315E}" name="TN" dataDxfId="6"/>
    <tableColumn id="4" xr3:uid="{43264F12-5AC4-4642-8342-F4D9E761BECB}" name="FP" dataDxfId="5"/>
    <tableColumn id="5" xr3:uid="{3DED699F-CA99-45D5-9F39-19BEC2578773}" name="FN"/>
  </tableColumns>
  <tableStyleInfo name="TableStyleMedium1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FD48547-18A0-4551-804E-7D32FDF5E636}" name="Table1345671415" displayName="Table1345671415" ref="A1:E12" totalsRowShown="0" headerRowDxfId="4">
  <autoFilter ref="A1:E12" xr:uid="{DFD48547-18A0-4551-804E-7D32FDF5E636}"/>
  <tableColumns count="5">
    <tableColumn id="1" xr3:uid="{84973F2E-1BA6-4F73-89F1-E5619E9E7D59}" name="Intent/Slot" dataDxfId="3"/>
    <tableColumn id="2" xr3:uid="{CE5FCF15-458F-4927-88A3-8216AC6ECD84}" name="TP" dataDxfId="0">
      <calculatedColumnFormula>SUM(Table1[[#This Row],[TP]],Table13[])</calculatedColumnFormula>
    </tableColumn>
    <tableColumn id="3" xr3:uid="{4722C050-5DC5-407A-A27D-1BDB7C99CAFC}" name="TN" dataDxfId="2"/>
    <tableColumn id="4" xr3:uid="{9D2F3996-8849-4B50-B3B4-FE70151AA040}" name="FP" dataDxfId="1"/>
    <tableColumn id="5" xr3:uid="{E1700460-7686-49DA-AD1A-B20B19F8A150}" name="FN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940D4-3C38-4BBA-89D7-4FB4F4314F3A}">
  <dimension ref="A1:E12"/>
  <sheetViews>
    <sheetView zoomScale="89" workbookViewId="0">
      <selection activeCell="B2" sqref="B2"/>
    </sheetView>
  </sheetViews>
  <sheetFormatPr defaultRowHeight="14.4" x14ac:dyDescent="0.3"/>
  <cols>
    <col min="1" max="1" width="15.44140625" style="1" customWidth="1"/>
  </cols>
  <sheetData>
    <row r="1" spans="1:5" s="1" customFormat="1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>
        <f>4</f>
        <v>4</v>
      </c>
      <c r="C2">
        <f>1</f>
        <v>1</v>
      </c>
    </row>
    <row r="3" spans="1:5" x14ac:dyDescent="0.3">
      <c r="A3" s="1" t="s">
        <v>20</v>
      </c>
      <c r="B3" s="2">
        <v>4</v>
      </c>
      <c r="C3" s="2"/>
    </row>
    <row r="4" spans="1:5" x14ac:dyDescent="0.3">
      <c r="A4" s="1" t="s">
        <v>5</v>
      </c>
      <c r="B4" s="2"/>
      <c r="C4" s="2">
        <f>4</f>
        <v>4</v>
      </c>
    </row>
    <row r="5" spans="1:5" x14ac:dyDescent="0.3">
      <c r="A5" s="1" t="s">
        <v>6</v>
      </c>
      <c r="B5" s="2">
        <f>1</f>
        <v>1</v>
      </c>
      <c r="C5" s="2">
        <f>3</f>
        <v>3</v>
      </c>
    </row>
    <row r="6" spans="1:5" x14ac:dyDescent="0.3">
      <c r="A6" s="1" t="s">
        <v>7</v>
      </c>
      <c r="B6" s="2"/>
      <c r="C6" s="2">
        <f>4</f>
        <v>4</v>
      </c>
    </row>
    <row r="7" spans="1:5" x14ac:dyDescent="0.3">
      <c r="A7" s="1" t="s">
        <v>8</v>
      </c>
      <c r="B7" s="2">
        <f>1</f>
        <v>1</v>
      </c>
      <c r="C7" s="2">
        <f>1+1+1</f>
        <v>3</v>
      </c>
    </row>
    <row r="8" spans="1:5" x14ac:dyDescent="0.3">
      <c r="A8" s="1" t="s">
        <v>9</v>
      </c>
      <c r="B8" s="2">
        <v>1</v>
      </c>
      <c r="C8" s="2">
        <f>3</f>
        <v>3</v>
      </c>
    </row>
    <row r="9" spans="1:5" x14ac:dyDescent="0.3">
      <c r="A9" s="1" t="s">
        <v>10</v>
      </c>
      <c r="B9" s="2"/>
      <c r="C9" s="2">
        <f>4</f>
        <v>4</v>
      </c>
    </row>
    <row r="10" spans="1:5" x14ac:dyDescent="0.3">
      <c r="A10" s="1" t="s">
        <v>11</v>
      </c>
      <c r="B10" s="2"/>
      <c r="C10" s="2">
        <f>4</f>
        <v>4</v>
      </c>
    </row>
    <row r="11" spans="1:5" x14ac:dyDescent="0.3">
      <c r="A11" s="1" t="s">
        <v>12</v>
      </c>
      <c r="B11" s="2"/>
      <c r="C11" s="2">
        <f>4</f>
        <v>4</v>
      </c>
    </row>
    <row r="12" spans="1:5" x14ac:dyDescent="0.3">
      <c r="A12" s="1" t="s">
        <v>13</v>
      </c>
      <c r="B12">
        <v>1</v>
      </c>
      <c r="C12">
        <f>3</f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FDE9-0A85-4D11-B55A-B7720ABDCAFB}">
  <dimension ref="A1:E11"/>
  <sheetViews>
    <sheetView workbookViewId="0">
      <selection activeCell="A4" sqref="A4"/>
    </sheetView>
  </sheetViews>
  <sheetFormatPr defaultRowHeight="14.4" x14ac:dyDescent="0.3"/>
  <cols>
    <col min="1" max="1" width="16.33203125" bestFit="1" customWidth="1"/>
  </cols>
  <sheetData>
    <row r="1" spans="1:5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</row>
    <row r="3" spans="1:5" x14ac:dyDescent="0.3">
      <c r="A3" s="1" t="s">
        <v>5</v>
      </c>
    </row>
    <row r="4" spans="1:5" x14ac:dyDescent="0.3">
      <c r="A4" s="1" t="s">
        <v>6</v>
      </c>
    </row>
    <row r="5" spans="1:5" x14ac:dyDescent="0.3">
      <c r="A5" s="1" t="s">
        <v>7</v>
      </c>
    </row>
    <row r="6" spans="1:5" x14ac:dyDescent="0.3">
      <c r="A6" s="1" t="s">
        <v>8</v>
      </c>
    </row>
    <row r="7" spans="1:5" x14ac:dyDescent="0.3">
      <c r="A7" s="1" t="s">
        <v>9</v>
      </c>
    </row>
    <row r="8" spans="1:5" x14ac:dyDescent="0.3">
      <c r="A8" s="1" t="s">
        <v>10</v>
      </c>
    </row>
    <row r="9" spans="1:5" x14ac:dyDescent="0.3">
      <c r="A9" s="1" t="s">
        <v>11</v>
      </c>
    </row>
    <row r="10" spans="1:5" x14ac:dyDescent="0.3">
      <c r="A10" s="1" t="s">
        <v>12</v>
      </c>
    </row>
    <row r="11" spans="1:5" x14ac:dyDescent="0.3">
      <c r="A11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C9323-B98D-492F-A4E4-B2A290190A50}">
  <dimension ref="A1:E12"/>
  <sheetViews>
    <sheetView workbookViewId="0">
      <selection activeCell="B16" sqref="B16"/>
    </sheetView>
  </sheetViews>
  <sheetFormatPr defaultRowHeight="14.4" x14ac:dyDescent="0.3"/>
  <cols>
    <col min="1" max="1" width="16.21875" customWidth="1"/>
  </cols>
  <sheetData>
    <row r="1" spans="1:5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>
        <f>5</f>
        <v>5</v>
      </c>
      <c r="C2">
        <f>1</f>
        <v>1</v>
      </c>
    </row>
    <row r="3" spans="1:5" x14ac:dyDescent="0.3">
      <c r="A3" s="1" t="s">
        <v>20</v>
      </c>
      <c r="B3" s="2">
        <v>5</v>
      </c>
      <c r="C3" s="2"/>
      <c r="D3" s="2"/>
    </row>
    <row r="4" spans="1:5" x14ac:dyDescent="0.3">
      <c r="A4" s="1" t="s">
        <v>5</v>
      </c>
      <c r="B4" s="2"/>
      <c r="C4" s="2"/>
      <c r="D4" s="2"/>
    </row>
    <row r="5" spans="1:5" x14ac:dyDescent="0.3">
      <c r="A5" s="1" t="s">
        <v>6</v>
      </c>
      <c r="B5" s="2">
        <f>1</f>
        <v>1</v>
      </c>
      <c r="C5" s="2"/>
      <c r="D5" s="2"/>
    </row>
    <row r="6" spans="1:5" x14ac:dyDescent="0.3">
      <c r="A6" s="1" t="s">
        <v>7</v>
      </c>
      <c r="B6" s="2">
        <f>1</f>
        <v>1</v>
      </c>
      <c r="C6" s="2"/>
      <c r="D6" s="2"/>
    </row>
    <row r="7" spans="1:5" x14ac:dyDescent="0.3">
      <c r="A7" s="1" t="s">
        <v>8</v>
      </c>
      <c r="B7" s="2">
        <f>1</f>
        <v>1</v>
      </c>
      <c r="C7" s="2"/>
      <c r="D7" s="2"/>
    </row>
    <row r="8" spans="1:5" x14ac:dyDescent="0.3">
      <c r="A8" s="1" t="s">
        <v>9</v>
      </c>
      <c r="B8" s="2"/>
      <c r="C8" s="2"/>
      <c r="D8" s="2"/>
    </row>
    <row r="9" spans="1:5" x14ac:dyDescent="0.3">
      <c r="A9" s="1" t="s">
        <v>10</v>
      </c>
      <c r="B9" s="2">
        <f>1</f>
        <v>1</v>
      </c>
      <c r="C9" s="2"/>
      <c r="D9" s="2"/>
    </row>
    <row r="10" spans="1:5" x14ac:dyDescent="0.3">
      <c r="A10" s="1" t="s">
        <v>11</v>
      </c>
      <c r="B10" s="2"/>
      <c r="C10" s="2"/>
      <c r="D10" s="2">
        <f>1</f>
        <v>1</v>
      </c>
    </row>
    <row r="11" spans="1:5" x14ac:dyDescent="0.3">
      <c r="A11" s="1" t="s">
        <v>12</v>
      </c>
      <c r="B11" s="2">
        <f>1</f>
        <v>1</v>
      </c>
      <c r="C11" s="2"/>
      <c r="D11" s="2"/>
    </row>
    <row r="12" spans="1:5" x14ac:dyDescent="0.3">
      <c r="A12" s="1" t="s">
        <v>13</v>
      </c>
      <c r="D12">
        <f>1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D37C-4A45-4B17-B519-317814DF0177}">
  <dimension ref="A1:E12"/>
  <sheetViews>
    <sheetView workbookViewId="0">
      <selection activeCell="C22" sqref="C22"/>
    </sheetView>
  </sheetViews>
  <sheetFormatPr defaultRowHeight="14.4" x14ac:dyDescent="0.3"/>
  <cols>
    <col min="1" max="1" width="16.44140625" customWidth="1"/>
  </cols>
  <sheetData>
    <row r="1" spans="1:5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>
        <v>6</v>
      </c>
      <c r="C2">
        <v>1</v>
      </c>
    </row>
    <row r="3" spans="1:5" x14ac:dyDescent="0.3">
      <c r="A3" s="1" t="s">
        <v>20</v>
      </c>
      <c r="B3" s="2">
        <v>6</v>
      </c>
      <c r="C3" s="2"/>
      <c r="D3" s="2"/>
    </row>
    <row r="4" spans="1:5" x14ac:dyDescent="0.3">
      <c r="A4" s="1" t="s">
        <v>5</v>
      </c>
      <c r="B4" s="2">
        <v>1</v>
      </c>
      <c r="C4" s="2"/>
      <c r="D4" s="2"/>
    </row>
    <row r="5" spans="1:5" x14ac:dyDescent="0.3">
      <c r="A5" s="1" t="s">
        <v>6</v>
      </c>
      <c r="B5" s="2">
        <v>1</v>
      </c>
      <c r="C5" s="2"/>
      <c r="D5" s="2"/>
    </row>
    <row r="6" spans="1:5" x14ac:dyDescent="0.3">
      <c r="A6" s="1" t="s">
        <v>7</v>
      </c>
      <c r="B6" s="2">
        <v>1</v>
      </c>
      <c r="C6" s="2"/>
      <c r="D6" s="2">
        <v>1</v>
      </c>
    </row>
    <row r="7" spans="1:5" x14ac:dyDescent="0.3">
      <c r="A7" s="1" t="s">
        <v>8</v>
      </c>
      <c r="B7" s="2">
        <v>1</v>
      </c>
      <c r="C7" s="2"/>
      <c r="D7" s="2"/>
    </row>
    <row r="8" spans="1:5" x14ac:dyDescent="0.3">
      <c r="A8" s="1" t="s">
        <v>9</v>
      </c>
      <c r="B8" s="2"/>
      <c r="C8" s="2"/>
      <c r="D8" s="2"/>
    </row>
    <row r="9" spans="1:5" x14ac:dyDescent="0.3">
      <c r="A9" s="1" t="s">
        <v>10</v>
      </c>
      <c r="B9" s="2">
        <v>1</v>
      </c>
      <c r="C9" s="2"/>
      <c r="D9" s="2"/>
    </row>
    <row r="10" spans="1:5" x14ac:dyDescent="0.3">
      <c r="A10" s="1" t="s">
        <v>11</v>
      </c>
      <c r="B10" s="2">
        <v>1</v>
      </c>
      <c r="C10" s="2"/>
      <c r="D10" s="2"/>
    </row>
    <row r="11" spans="1:5" x14ac:dyDescent="0.3">
      <c r="A11" s="1" t="s">
        <v>12</v>
      </c>
      <c r="B11" s="2"/>
      <c r="C11" s="2"/>
      <c r="D11" s="2"/>
    </row>
    <row r="12" spans="1:5" x14ac:dyDescent="0.3">
      <c r="A12" s="1" t="s">
        <v>13</v>
      </c>
      <c r="D12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4ED7F-54B2-435F-8603-24A1464E240D}">
  <dimension ref="A1:E12"/>
  <sheetViews>
    <sheetView workbookViewId="0">
      <selection activeCell="F27" sqref="F27"/>
    </sheetView>
  </sheetViews>
  <sheetFormatPr defaultRowHeight="14.4" x14ac:dyDescent="0.3"/>
  <cols>
    <col min="1" max="1" width="16.44140625" customWidth="1"/>
  </cols>
  <sheetData>
    <row r="1" spans="1:5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>
        <v>5</v>
      </c>
      <c r="C2">
        <v>1</v>
      </c>
    </row>
    <row r="3" spans="1:5" x14ac:dyDescent="0.3">
      <c r="A3" s="1" t="s">
        <v>20</v>
      </c>
      <c r="B3" s="2">
        <v>5</v>
      </c>
      <c r="C3" s="2"/>
      <c r="D3" s="2"/>
    </row>
    <row r="4" spans="1:5" x14ac:dyDescent="0.3">
      <c r="A4" s="1" t="s">
        <v>5</v>
      </c>
      <c r="B4" s="2">
        <v>1</v>
      </c>
      <c r="C4" s="2"/>
      <c r="D4" s="2"/>
    </row>
    <row r="5" spans="1:5" x14ac:dyDescent="0.3">
      <c r="A5" s="1" t="s">
        <v>6</v>
      </c>
      <c r="B5" s="2">
        <v>1</v>
      </c>
      <c r="C5" s="2"/>
      <c r="D5" s="2"/>
    </row>
    <row r="6" spans="1:5" x14ac:dyDescent="0.3">
      <c r="A6" s="1" t="s">
        <v>7</v>
      </c>
      <c r="B6" s="2">
        <v>1</v>
      </c>
      <c r="C6" s="2"/>
      <c r="D6" s="2"/>
    </row>
    <row r="7" spans="1:5" x14ac:dyDescent="0.3">
      <c r="A7" s="1" t="s">
        <v>8</v>
      </c>
      <c r="B7" s="2">
        <v>1</v>
      </c>
      <c r="C7" s="2"/>
      <c r="D7" s="2"/>
    </row>
    <row r="8" spans="1:5" x14ac:dyDescent="0.3">
      <c r="A8" s="1" t="s">
        <v>9</v>
      </c>
      <c r="B8" s="2"/>
      <c r="C8" s="2"/>
      <c r="D8" s="2"/>
    </row>
    <row r="9" spans="1:5" x14ac:dyDescent="0.3">
      <c r="A9" s="1" t="s">
        <v>10</v>
      </c>
      <c r="B9" s="2"/>
      <c r="C9" s="2"/>
      <c r="D9" s="2"/>
    </row>
    <row r="10" spans="1:5" x14ac:dyDescent="0.3">
      <c r="A10" s="1" t="s">
        <v>11</v>
      </c>
      <c r="B10" s="2"/>
      <c r="C10" s="2"/>
      <c r="D10" s="2"/>
    </row>
    <row r="11" spans="1:5" x14ac:dyDescent="0.3">
      <c r="A11" s="1" t="s">
        <v>12</v>
      </c>
      <c r="B11" s="2">
        <v>1</v>
      </c>
      <c r="C11" s="2"/>
      <c r="D11" s="2"/>
    </row>
    <row r="12" spans="1:5" x14ac:dyDescent="0.3">
      <c r="A12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196CB-A152-4F94-939A-415AFE9317C1}">
  <dimension ref="A1:E12"/>
  <sheetViews>
    <sheetView workbookViewId="0">
      <selection activeCell="B22" sqref="B22"/>
    </sheetView>
  </sheetViews>
  <sheetFormatPr defaultRowHeight="14.4" x14ac:dyDescent="0.3"/>
  <cols>
    <col min="1" max="1" width="17.77734375" customWidth="1"/>
  </cols>
  <sheetData>
    <row r="1" spans="1:5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>
        <v>5</v>
      </c>
      <c r="C2">
        <v>1</v>
      </c>
    </row>
    <row r="3" spans="1:5" x14ac:dyDescent="0.3">
      <c r="A3" s="1" t="s">
        <v>20</v>
      </c>
      <c r="B3" s="2">
        <v>5</v>
      </c>
      <c r="C3" s="2"/>
      <c r="D3" s="2"/>
    </row>
    <row r="4" spans="1:5" x14ac:dyDescent="0.3">
      <c r="A4" s="1" t="s">
        <v>5</v>
      </c>
      <c r="B4" s="2"/>
      <c r="C4" s="2"/>
      <c r="D4" s="2"/>
      <c r="E4">
        <v>1</v>
      </c>
    </row>
    <row r="5" spans="1:5" x14ac:dyDescent="0.3">
      <c r="A5" s="1" t="s">
        <v>6</v>
      </c>
      <c r="B5" s="2">
        <v>1</v>
      </c>
      <c r="C5" s="2"/>
      <c r="D5" s="2"/>
    </row>
    <row r="6" spans="1:5" x14ac:dyDescent="0.3">
      <c r="A6" s="1" t="s">
        <v>7</v>
      </c>
      <c r="B6" s="2">
        <v>1</v>
      </c>
      <c r="C6" s="2"/>
      <c r="D6" s="2"/>
    </row>
    <row r="7" spans="1:5" x14ac:dyDescent="0.3">
      <c r="A7" s="1" t="s">
        <v>8</v>
      </c>
      <c r="B7" s="2">
        <v>1</v>
      </c>
      <c r="C7" s="2"/>
      <c r="D7" s="2"/>
    </row>
    <row r="8" spans="1:5" x14ac:dyDescent="0.3">
      <c r="A8" s="1" t="s">
        <v>9</v>
      </c>
      <c r="B8" s="2"/>
      <c r="C8" s="2"/>
      <c r="D8" s="2"/>
    </row>
    <row r="9" spans="1:5" x14ac:dyDescent="0.3">
      <c r="A9" s="1" t="s">
        <v>10</v>
      </c>
      <c r="B9" s="2"/>
      <c r="C9" s="2"/>
      <c r="D9" s="2">
        <v>1</v>
      </c>
    </row>
    <row r="10" spans="1:5" x14ac:dyDescent="0.3">
      <c r="A10" s="1" t="s">
        <v>11</v>
      </c>
      <c r="B10" s="2">
        <v>1</v>
      </c>
      <c r="C10" s="2"/>
      <c r="D10" s="2"/>
    </row>
    <row r="11" spans="1:5" x14ac:dyDescent="0.3">
      <c r="A11" s="1" t="s">
        <v>12</v>
      </c>
      <c r="B11" s="2"/>
      <c r="C11" s="2"/>
      <c r="D11" s="2"/>
    </row>
    <row r="12" spans="1:5" x14ac:dyDescent="0.3">
      <c r="A12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F771-DF66-4537-BD2F-24E4B026AB10}">
  <dimension ref="A1:E12"/>
  <sheetViews>
    <sheetView workbookViewId="0">
      <selection activeCell="B19" sqref="B19"/>
    </sheetView>
  </sheetViews>
  <sheetFormatPr defaultRowHeight="14.4" x14ac:dyDescent="0.3"/>
  <cols>
    <col min="1" max="1" width="16.77734375" customWidth="1"/>
  </cols>
  <sheetData>
    <row r="1" spans="1:5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>
        <v>1</v>
      </c>
      <c r="C2">
        <v>1</v>
      </c>
      <c r="E2">
        <v>4</v>
      </c>
    </row>
    <row r="3" spans="1:5" x14ac:dyDescent="0.3">
      <c r="A3" s="1" t="s">
        <v>20</v>
      </c>
      <c r="B3" s="2">
        <v>1</v>
      </c>
      <c r="C3" s="2"/>
      <c r="D3" s="2"/>
      <c r="E3">
        <v>4</v>
      </c>
    </row>
    <row r="4" spans="1:5" x14ac:dyDescent="0.3">
      <c r="A4" s="1" t="s">
        <v>5</v>
      </c>
      <c r="B4" s="2"/>
      <c r="C4" s="2"/>
      <c r="D4" s="2"/>
    </row>
    <row r="5" spans="1:5" x14ac:dyDescent="0.3">
      <c r="A5" s="1" t="s">
        <v>6</v>
      </c>
      <c r="B5" s="2"/>
      <c r="C5" s="2"/>
      <c r="D5" s="2"/>
      <c r="E5">
        <v>1</v>
      </c>
    </row>
    <row r="6" spans="1:5" x14ac:dyDescent="0.3">
      <c r="A6" s="1" t="s">
        <v>7</v>
      </c>
      <c r="B6" s="2">
        <v>1</v>
      </c>
      <c r="C6" s="2"/>
      <c r="D6" s="2"/>
    </row>
    <row r="7" spans="1:5" x14ac:dyDescent="0.3">
      <c r="A7" s="1" t="s">
        <v>8</v>
      </c>
      <c r="B7" s="2"/>
      <c r="C7" s="2"/>
      <c r="D7" s="2"/>
      <c r="E7">
        <v>1</v>
      </c>
    </row>
    <row r="8" spans="1:5" x14ac:dyDescent="0.3">
      <c r="A8" s="1" t="s">
        <v>9</v>
      </c>
      <c r="B8" s="2"/>
      <c r="C8" s="2"/>
      <c r="D8" s="2"/>
    </row>
    <row r="9" spans="1:5" x14ac:dyDescent="0.3">
      <c r="A9" s="1" t="s">
        <v>10</v>
      </c>
      <c r="B9" s="2"/>
      <c r="C9" s="2"/>
      <c r="D9" s="2"/>
      <c r="E9">
        <v>1</v>
      </c>
    </row>
    <row r="10" spans="1:5" x14ac:dyDescent="0.3">
      <c r="A10" s="1" t="s">
        <v>11</v>
      </c>
      <c r="B10" s="2"/>
      <c r="C10" s="2"/>
      <c r="D10" s="2"/>
      <c r="E10">
        <v>1</v>
      </c>
    </row>
    <row r="11" spans="1:5" x14ac:dyDescent="0.3">
      <c r="A11" s="1" t="s">
        <v>12</v>
      </c>
      <c r="B11" s="2"/>
      <c r="C11" s="2"/>
      <c r="D11" s="2"/>
    </row>
    <row r="12" spans="1:5" x14ac:dyDescent="0.3">
      <c r="A12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538B-5744-4275-81A5-C34B51AA14DF}">
  <dimension ref="A1:E12"/>
  <sheetViews>
    <sheetView workbookViewId="0">
      <selection activeCell="C16" sqref="C16"/>
    </sheetView>
  </sheetViews>
  <sheetFormatPr defaultRowHeight="14.4" x14ac:dyDescent="0.3"/>
  <cols>
    <col min="1" max="1" width="17.5546875" customWidth="1"/>
  </cols>
  <sheetData>
    <row r="1" spans="1:5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>
        <v>5</v>
      </c>
      <c r="C2">
        <v>1</v>
      </c>
    </row>
    <row r="3" spans="1:5" x14ac:dyDescent="0.3">
      <c r="A3" s="1" t="s">
        <v>20</v>
      </c>
      <c r="B3" s="2">
        <v>5</v>
      </c>
      <c r="C3" s="2"/>
      <c r="D3" s="2"/>
    </row>
    <row r="4" spans="1:5" x14ac:dyDescent="0.3">
      <c r="A4" s="1" t="s">
        <v>5</v>
      </c>
      <c r="B4" s="2"/>
      <c r="C4" s="2"/>
      <c r="D4" s="2"/>
    </row>
    <row r="5" spans="1:5" x14ac:dyDescent="0.3">
      <c r="A5" s="1" t="s">
        <v>6</v>
      </c>
      <c r="B5" s="2">
        <v>1</v>
      </c>
      <c r="C5" s="2"/>
      <c r="D5" s="2"/>
    </row>
    <row r="6" spans="1:5" x14ac:dyDescent="0.3">
      <c r="A6" s="1" t="s">
        <v>7</v>
      </c>
      <c r="B6" s="2">
        <v>1</v>
      </c>
      <c r="C6" s="2"/>
      <c r="D6" s="2"/>
    </row>
    <row r="7" spans="1:5" x14ac:dyDescent="0.3">
      <c r="A7" s="1" t="s">
        <v>8</v>
      </c>
      <c r="B7" s="2">
        <v>1</v>
      </c>
      <c r="C7" s="2"/>
      <c r="D7" s="2"/>
    </row>
    <row r="8" spans="1:5" x14ac:dyDescent="0.3">
      <c r="A8" s="1" t="s">
        <v>9</v>
      </c>
      <c r="B8" s="2">
        <v>1</v>
      </c>
      <c r="C8" s="2"/>
      <c r="D8" s="2"/>
    </row>
    <row r="9" spans="1:5" x14ac:dyDescent="0.3">
      <c r="A9" s="1" t="s">
        <v>10</v>
      </c>
      <c r="B9" s="2"/>
      <c r="C9" s="2"/>
      <c r="D9" s="2"/>
    </row>
    <row r="10" spans="1:5" x14ac:dyDescent="0.3">
      <c r="A10" s="1" t="s">
        <v>11</v>
      </c>
      <c r="B10" s="2"/>
      <c r="C10" s="2"/>
      <c r="D10" s="2">
        <v>1</v>
      </c>
    </row>
    <row r="11" spans="1:5" x14ac:dyDescent="0.3">
      <c r="A11" s="1" t="s">
        <v>12</v>
      </c>
      <c r="B11" s="2">
        <v>1</v>
      </c>
      <c r="C11" s="2"/>
      <c r="D11" s="2"/>
    </row>
    <row r="12" spans="1:5" x14ac:dyDescent="0.3">
      <c r="A12" s="1" t="s">
        <v>13</v>
      </c>
      <c r="D12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C99FD-B9ED-432C-8456-F5FE5EF20620}">
  <dimension ref="A1:E12"/>
  <sheetViews>
    <sheetView workbookViewId="0">
      <selection activeCell="B28" sqref="B28"/>
    </sheetView>
  </sheetViews>
  <sheetFormatPr defaultRowHeight="14.4" x14ac:dyDescent="0.3"/>
  <cols>
    <col min="1" max="1" width="16" customWidth="1"/>
  </cols>
  <sheetData>
    <row r="1" spans="1:5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>
        <v>4</v>
      </c>
      <c r="C2">
        <v>1</v>
      </c>
    </row>
    <row r="3" spans="1:5" x14ac:dyDescent="0.3">
      <c r="A3" s="1" t="s">
        <v>20</v>
      </c>
      <c r="B3" s="2">
        <v>4</v>
      </c>
      <c r="C3" s="2"/>
      <c r="D3" s="2"/>
    </row>
    <row r="4" spans="1:5" x14ac:dyDescent="0.3">
      <c r="A4" s="1" t="s">
        <v>5</v>
      </c>
      <c r="B4" s="2">
        <v>1</v>
      </c>
      <c r="C4" s="2"/>
      <c r="D4" s="2"/>
    </row>
    <row r="5" spans="1:5" x14ac:dyDescent="0.3">
      <c r="A5" s="1" t="s">
        <v>6</v>
      </c>
      <c r="B5" s="2"/>
      <c r="C5" s="2"/>
      <c r="D5" s="2"/>
    </row>
    <row r="6" spans="1:5" x14ac:dyDescent="0.3">
      <c r="A6" s="1" t="s">
        <v>7</v>
      </c>
      <c r="B6" s="2">
        <v>1</v>
      </c>
      <c r="C6" s="2"/>
      <c r="D6" s="2"/>
    </row>
    <row r="7" spans="1:5" x14ac:dyDescent="0.3">
      <c r="A7" s="1" t="s">
        <v>8</v>
      </c>
      <c r="B7" s="2">
        <v>1</v>
      </c>
      <c r="C7" s="2"/>
      <c r="D7" s="2"/>
    </row>
    <row r="8" spans="1:5" x14ac:dyDescent="0.3">
      <c r="A8" s="1" t="s">
        <v>9</v>
      </c>
      <c r="B8" s="2"/>
      <c r="C8" s="2"/>
      <c r="D8" s="2"/>
    </row>
    <row r="9" spans="1:5" x14ac:dyDescent="0.3">
      <c r="A9" s="1" t="s">
        <v>10</v>
      </c>
      <c r="B9" s="2"/>
      <c r="C9" s="2"/>
      <c r="D9" s="2"/>
    </row>
    <row r="10" spans="1:5" x14ac:dyDescent="0.3">
      <c r="A10" s="1" t="s">
        <v>11</v>
      </c>
      <c r="B10" s="2">
        <v>1</v>
      </c>
      <c r="C10" s="2"/>
      <c r="D10" s="2"/>
    </row>
    <row r="11" spans="1:5" x14ac:dyDescent="0.3">
      <c r="A11" s="1" t="s">
        <v>12</v>
      </c>
      <c r="B11" s="2"/>
      <c r="C11" s="2"/>
      <c r="D11" s="2"/>
    </row>
    <row r="12" spans="1:5" x14ac:dyDescent="0.3">
      <c r="A12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0888-B853-4D0F-B1AE-5FE7CEF8390F}">
  <dimension ref="A1:E12"/>
  <sheetViews>
    <sheetView workbookViewId="0">
      <selection activeCell="C16" sqref="C16"/>
    </sheetView>
  </sheetViews>
  <sheetFormatPr defaultRowHeight="14.4" x14ac:dyDescent="0.3"/>
  <cols>
    <col min="1" max="1" width="17.5546875" customWidth="1"/>
  </cols>
  <sheetData>
    <row r="1" spans="1:5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>
        <v>5</v>
      </c>
      <c r="C2">
        <v>1</v>
      </c>
    </row>
    <row r="3" spans="1:5" x14ac:dyDescent="0.3">
      <c r="A3" s="1" t="s">
        <v>20</v>
      </c>
      <c r="B3" s="2">
        <v>5</v>
      </c>
      <c r="C3" s="2"/>
      <c r="D3" s="2"/>
    </row>
    <row r="4" spans="1:5" x14ac:dyDescent="0.3">
      <c r="A4" s="1" t="s">
        <v>5</v>
      </c>
      <c r="B4" s="2"/>
      <c r="C4" s="2"/>
      <c r="D4" s="2"/>
    </row>
    <row r="5" spans="1:5" x14ac:dyDescent="0.3">
      <c r="A5" s="1" t="s">
        <v>6</v>
      </c>
      <c r="B5" s="2">
        <v>1</v>
      </c>
      <c r="C5" s="2"/>
      <c r="D5" s="2"/>
    </row>
    <row r="6" spans="1:5" x14ac:dyDescent="0.3">
      <c r="A6" s="1" t="s">
        <v>7</v>
      </c>
      <c r="B6" s="2">
        <v>1</v>
      </c>
      <c r="C6" s="2"/>
      <c r="D6" s="2"/>
    </row>
    <row r="7" spans="1:5" x14ac:dyDescent="0.3">
      <c r="A7" s="1" t="s">
        <v>8</v>
      </c>
      <c r="B7" s="2">
        <v>1</v>
      </c>
      <c r="C7" s="2"/>
      <c r="D7" s="2"/>
    </row>
    <row r="8" spans="1:5" x14ac:dyDescent="0.3">
      <c r="A8" s="1" t="s">
        <v>9</v>
      </c>
      <c r="B8" s="2"/>
      <c r="C8" s="2"/>
      <c r="D8" s="2"/>
    </row>
    <row r="9" spans="1:5" x14ac:dyDescent="0.3">
      <c r="A9" s="1" t="s">
        <v>10</v>
      </c>
      <c r="B9" s="2">
        <v>1</v>
      </c>
      <c r="C9" s="2"/>
      <c r="D9" s="2"/>
    </row>
    <row r="10" spans="1:5" x14ac:dyDescent="0.3">
      <c r="A10" s="1" t="s">
        <v>11</v>
      </c>
      <c r="B10" s="2">
        <v>1</v>
      </c>
      <c r="C10" s="2"/>
      <c r="D10" s="2"/>
    </row>
    <row r="11" spans="1:5" x14ac:dyDescent="0.3">
      <c r="A11" s="1" t="s">
        <v>12</v>
      </c>
      <c r="B11" s="2"/>
      <c r="C11" s="2"/>
      <c r="D11" s="2"/>
    </row>
    <row r="12" spans="1:5" x14ac:dyDescent="0.3">
      <c r="A12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5479A-C68D-43A1-9E17-A7998B59F685}">
  <dimension ref="A1:E12"/>
  <sheetViews>
    <sheetView workbookViewId="0">
      <selection activeCell="D19" sqref="D19"/>
    </sheetView>
  </sheetViews>
  <sheetFormatPr defaultRowHeight="14.4" x14ac:dyDescent="0.3"/>
  <cols>
    <col min="1" max="1" width="16.88671875" customWidth="1"/>
  </cols>
  <sheetData>
    <row r="1" spans="1:5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>
        <v>5</v>
      </c>
      <c r="C2">
        <v>1</v>
      </c>
    </row>
    <row r="3" spans="1:5" x14ac:dyDescent="0.3">
      <c r="A3" s="1" t="s">
        <v>20</v>
      </c>
      <c r="B3" s="2">
        <v>5</v>
      </c>
      <c r="C3" s="2"/>
      <c r="D3" s="2"/>
    </row>
    <row r="4" spans="1:5" x14ac:dyDescent="0.3">
      <c r="A4" s="1" t="s">
        <v>5</v>
      </c>
      <c r="B4" s="2"/>
      <c r="C4" s="2"/>
      <c r="D4" s="2"/>
    </row>
    <row r="5" spans="1:5" x14ac:dyDescent="0.3">
      <c r="A5" s="1" t="s">
        <v>6</v>
      </c>
      <c r="B5" s="2">
        <v>1</v>
      </c>
      <c r="C5" s="2"/>
      <c r="D5" s="2"/>
    </row>
    <row r="6" spans="1:5" x14ac:dyDescent="0.3">
      <c r="A6" s="1" t="s">
        <v>7</v>
      </c>
      <c r="B6" s="2">
        <v>2</v>
      </c>
      <c r="C6" s="2"/>
      <c r="D6" s="2"/>
    </row>
    <row r="7" spans="1:5" x14ac:dyDescent="0.3">
      <c r="A7" s="1" t="s">
        <v>8</v>
      </c>
      <c r="B7" s="2">
        <v>1</v>
      </c>
      <c r="C7" s="2"/>
      <c r="D7" s="2"/>
    </row>
    <row r="8" spans="1:5" x14ac:dyDescent="0.3">
      <c r="A8" s="1" t="s">
        <v>9</v>
      </c>
      <c r="B8" s="2">
        <v>1</v>
      </c>
      <c r="C8" s="2"/>
      <c r="D8" s="2"/>
    </row>
    <row r="9" spans="1:5" x14ac:dyDescent="0.3">
      <c r="A9" s="1" t="s">
        <v>10</v>
      </c>
      <c r="B9" s="2"/>
      <c r="C9" s="2"/>
      <c r="D9" s="2"/>
    </row>
    <row r="10" spans="1:5" x14ac:dyDescent="0.3">
      <c r="A10" s="1" t="s">
        <v>11</v>
      </c>
      <c r="B10" s="2"/>
      <c r="C10" s="2"/>
      <c r="D10" s="2"/>
    </row>
    <row r="11" spans="1:5" x14ac:dyDescent="0.3">
      <c r="A11" s="1" t="s">
        <v>12</v>
      </c>
      <c r="B11" s="2"/>
      <c r="C11" s="2"/>
      <c r="D11" s="2"/>
    </row>
    <row r="12" spans="1:5" x14ac:dyDescent="0.3">
      <c r="A12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AFA07-3DD8-439D-A2D0-DCB67282088C}">
  <dimension ref="A1:E12"/>
  <sheetViews>
    <sheetView workbookViewId="0">
      <selection activeCell="D22" sqref="D22"/>
    </sheetView>
  </sheetViews>
  <sheetFormatPr defaultRowHeight="14.4" x14ac:dyDescent="0.3"/>
  <cols>
    <col min="1" max="1" width="18.44140625" customWidth="1"/>
  </cols>
  <sheetData>
    <row r="1" spans="1:5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>
        <v>5</v>
      </c>
    </row>
    <row r="3" spans="1:5" x14ac:dyDescent="0.3">
      <c r="A3" s="1" t="s">
        <v>20</v>
      </c>
      <c r="B3" s="2">
        <v>5</v>
      </c>
      <c r="C3" s="2"/>
      <c r="D3" s="2"/>
    </row>
    <row r="4" spans="1:5" x14ac:dyDescent="0.3">
      <c r="A4" s="1" t="s">
        <v>5</v>
      </c>
      <c r="B4" s="2">
        <v>1</v>
      </c>
      <c r="C4" s="2"/>
      <c r="D4" s="2">
        <v>1</v>
      </c>
    </row>
    <row r="5" spans="1:5" x14ac:dyDescent="0.3">
      <c r="A5" s="1" t="s">
        <v>6</v>
      </c>
      <c r="B5" s="2">
        <v>1</v>
      </c>
      <c r="C5" s="2"/>
      <c r="D5" s="2"/>
    </row>
    <row r="6" spans="1:5" x14ac:dyDescent="0.3">
      <c r="A6" s="1" t="s">
        <v>7</v>
      </c>
      <c r="B6" s="2">
        <v>1</v>
      </c>
      <c r="C6" s="2"/>
      <c r="D6" s="2"/>
    </row>
    <row r="7" spans="1:5" x14ac:dyDescent="0.3">
      <c r="A7" s="1" t="s">
        <v>8</v>
      </c>
      <c r="B7" s="2">
        <v>1</v>
      </c>
      <c r="C7" s="2"/>
      <c r="D7" s="2"/>
    </row>
    <row r="8" spans="1:5" x14ac:dyDescent="0.3">
      <c r="A8" s="1" t="s">
        <v>9</v>
      </c>
      <c r="B8" s="2"/>
      <c r="C8" s="2"/>
      <c r="D8" s="2"/>
    </row>
    <row r="9" spans="1:5" x14ac:dyDescent="0.3">
      <c r="A9" s="1" t="s">
        <v>10</v>
      </c>
      <c r="B9" s="2"/>
      <c r="C9" s="2"/>
      <c r="D9" s="2"/>
    </row>
    <row r="10" spans="1:5" x14ac:dyDescent="0.3">
      <c r="A10" s="1" t="s">
        <v>11</v>
      </c>
      <c r="B10" s="2"/>
      <c r="C10" s="2"/>
      <c r="D10" s="2"/>
    </row>
    <row r="11" spans="1:5" x14ac:dyDescent="0.3">
      <c r="A11" s="1" t="s">
        <v>12</v>
      </c>
      <c r="B11" s="2">
        <v>1</v>
      </c>
      <c r="C11" s="2"/>
      <c r="D11" s="2"/>
    </row>
    <row r="12" spans="1:5" x14ac:dyDescent="0.3">
      <c r="A12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F953C-07CE-4EDA-9EC5-5866D4E0B8D2}">
  <dimension ref="A1:E12"/>
  <sheetViews>
    <sheetView tabSelected="1" workbookViewId="0">
      <selection activeCell="H10" sqref="H10"/>
    </sheetView>
  </sheetViews>
  <sheetFormatPr defaultRowHeight="14.4" x14ac:dyDescent="0.3"/>
  <cols>
    <col min="1" max="1" width="19.77734375" customWidth="1"/>
  </cols>
  <sheetData>
    <row r="1" spans="1:5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>
        <v>1</v>
      </c>
      <c r="C2">
        <v>1</v>
      </c>
      <c r="E2">
        <v>3</v>
      </c>
    </row>
    <row r="3" spans="1:5" x14ac:dyDescent="0.3">
      <c r="A3" s="1" t="s">
        <v>20</v>
      </c>
      <c r="B3" s="2">
        <v>1</v>
      </c>
      <c r="C3" s="2"/>
      <c r="D3" s="2"/>
      <c r="E3">
        <v>3</v>
      </c>
    </row>
    <row r="4" spans="1:5" x14ac:dyDescent="0.3">
      <c r="A4" s="1" t="s">
        <v>5</v>
      </c>
      <c r="B4" s="2"/>
      <c r="C4" s="2"/>
      <c r="D4" s="2"/>
      <c r="E4">
        <v>1</v>
      </c>
    </row>
    <row r="5" spans="1:5" x14ac:dyDescent="0.3">
      <c r="A5" s="1" t="s">
        <v>6</v>
      </c>
      <c r="B5" s="2"/>
      <c r="C5" s="2"/>
      <c r="D5" s="2"/>
      <c r="E5">
        <v>1</v>
      </c>
    </row>
    <row r="6" spans="1:5" x14ac:dyDescent="0.3">
      <c r="A6" s="1" t="s">
        <v>7</v>
      </c>
      <c r="B6" s="2"/>
      <c r="C6" s="2"/>
      <c r="D6" s="2"/>
    </row>
    <row r="7" spans="1:5" x14ac:dyDescent="0.3">
      <c r="A7" s="1" t="s">
        <v>8</v>
      </c>
      <c r="B7" s="2"/>
      <c r="C7" s="2"/>
      <c r="D7" s="2"/>
      <c r="E7">
        <v>1</v>
      </c>
    </row>
    <row r="8" spans="1:5" x14ac:dyDescent="0.3">
      <c r="A8" s="1" t="s">
        <v>9</v>
      </c>
      <c r="B8" s="2"/>
      <c r="C8" s="2"/>
      <c r="D8" s="2"/>
    </row>
    <row r="9" spans="1:5" x14ac:dyDescent="0.3">
      <c r="A9" s="1" t="s">
        <v>10</v>
      </c>
      <c r="B9" s="2"/>
      <c r="C9" s="2"/>
      <c r="D9" s="2"/>
    </row>
    <row r="10" spans="1:5" x14ac:dyDescent="0.3">
      <c r="A10" s="1" t="s">
        <v>11</v>
      </c>
      <c r="B10" s="2"/>
      <c r="C10" s="2"/>
      <c r="D10" s="2"/>
      <c r="E10">
        <v>1</v>
      </c>
    </row>
    <row r="11" spans="1:5" x14ac:dyDescent="0.3">
      <c r="A11" s="1" t="s">
        <v>12</v>
      </c>
      <c r="B11" s="2"/>
      <c r="C11" s="2"/>
      <c r="D11" s="2"/>
    </row>
    <row r="12" spans="1:5" x14ac:dyDescent="0.3">
      <c r="A12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7EBD4-6629-4178-98ED-FF7BBC16B715}">
  <dimension ref="A1:E12"/>
  <sheetViews>
    <sheetView workbookViewId="0">
      <selection activeCell="J23" sqref="J23"/>
    </sheetView>
  </sheetViews>
  <sheetFormatPr defaultRowHeight="14.4" x14ac:dyDescent="0.3"/>
  <cols>
    <col min="1" max="1" width="17.21875" customWidth="1"/>
  </cols>
  <sheetData>
    <row r="1" spans="1:5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</row>
    <row r="3" spans="1:5" x14ac:dyDescent="0.3">
      <c r="A3" s="1" t="s">
        <v>20</v>
      </c>
      <c r="B3" s="2"/>
      <c r="C3" s="2"/>
      <c r="D3" s="2"/>
    </row>
    <row r="4" spans="1:5" x14ac:dyDescent="0.3">
      <c r="A4" s="1" t="s">
        <v>5</v>
      </c>
      <c r="B4" s="2"/>
      <c r="C4" s="2"/>
      <c r="D4" s="2"/>
    </row>
    <row r="5" spans="1:5" x14ac:dyDescent="0.3">
      <c r="A5" s="1" t="s">
        <v>6</v>
      </c>
      <c r="B5" s="2"/>
      <c r="C5" s="2"/>
      <c r="D5" s="2"/>
    </row>
    <row r="6" spans="1:5" x14ac:dyDescent="0.3">
      <c r="A6" s="1" t="s">
        <v>7</v>
      </c>
      <c r="B6" s="2"/>
      <c r="C6" s="2"/>
      <c r="D6" s="2"/>
    </row>
    <row r="7" spans="1:5" x14ac:dyDescent="0.3">
      <c r="A7" s="1" t="s">
        <v>8</v>
      </c>
      <c r="B7" s="2"/>
      <c r="C7" s="2"/>
      <c r="D7" s="2"/>
    </row>
    <row r="8" spans="1:5" x14ac:dyDescent="0.3">
      <c r="A8" s="1" t="s">
        <v>9</v>
      </c>
      <c r="B8" s="2"/>
      <c r="C8" s="2"/>
      <c r="D8" s="2"/>
    </row>
    <row r="9" spans="1:5" x14ac:dyDescent="0.3">
      <c r="A9" s="1" t="s">
        <v>10</v>
      </c>
      <c r="B9" s="2"/>
      <c r="C9" s="2"/>
      <c r="D9" s="2"/>
    </row>
    <row r="10" spans="1:5" x14ac:dyDescent="0.3">
      <c r="A10" s="1" t="s">
        <v>11</v>
      </c>
      <c r="B10" s="2"/>
      <c r="C10" s="2"/>
      <c r="D10" s="2"/>
    </row>
    <row r="11" spans="1:5" x14ac:dyDescent="0.3">
      <c r="A11" s="1" t="s">
        <v>12</v>
      </c>
      <c r="B11" s="2"/>
      <c r="C11" s="2"/>
      <c r="D11" s="2"/>
    </row>
    <row r="12" spans="1:5" x14ac:dyDescent="0.3">
      <c r="A12" s="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Test Dialogue 1</vt:lpstr>
      <vt:lpstr>Test Dialogue 2</vt:lpstr>
      <vt:lpstr>Test Dialogue 3</vt:lpstr>
      <vt:lpstr>Test Dialogue 4</vt:lpstr>
      <vt:lpstr>Test Dialogue 5 </vt:lpstr>
      <vt:lpstr>Test Dialogue 6</vt:lpstr>
      <vt:lpstr>Test Dialogue 7</vt:lpstr>
      <vt:lpstr>Test Dialogue 8</vt:lpstr>
      <vt:lpstr>Test Dialogue 9</vt:lpstr>
      <vt:lpstr>Test Dialogue 10</vt:lpstr>
      <vt:lpstr>Test Dialogue 11</vt:lpstr>
      <vt:lpstr>Test Dialogue 12</vt:lpstr>
      <vt:lpstr>Test Dialogue 13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Natasha Munginga (student)</dc:creator>
  <cp:lastModifiedBy>Patricia Natasha Munginga (student)</cp:lastModifiedBy>
  <dcterms:created xsi:type="dcterms:W3CDTF">2026-02-28T11:22:15Z</dcterms:created>
  <dcterms:modified xsi:type="dcterms:W3CDTF">2026-02-28T15:00:19Z</dcterms:modified>
</cp:coreProperties>
</file>